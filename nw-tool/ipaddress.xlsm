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18180" windowHeight="9675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14" i="1" l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D74" i="1"/>
  <c r="D73" i="1"/>
  <c r="D72" i="1"/>
  <c r="D71" i="1"/>
  <c r="C50" i="1"/>
  <c r="C49" i="1"/>
  <c r="C55" i="1"/>
  <c r="C54" i="1"/>
  <c r="C53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E68" i="1"/>
  <c r="D68" i="1"/>
  <c r="C68" i="1"/>
  <c r="E67" i="1"/>
  <c r="D67" i="1"/>
  <c r="C67" i="1"/>
  <c r="E66" i="1"/>
  <c r="D66" i="1"/>
  <c r="C66" i="1"/>
  <c r="E65" i="1"/>
  <c r="D65" i="1"/>
  <c r="C65" i="1"/>
  <c r="E64" i="1"/>
  <c r="D64" i="1"/>
  <c r="C64" i="1"/>
  <c r="C61" i="1"/>
  <c r="C60" i="1"/>
  <c r="C59" i="1"/>
  <c r="C58" i="1"/>
  <c r="C48" i="1"/>
  <c r="C8" i="1"/>
  <c r="C7" i="1"/>
  <c r="C9" i="1"/>
  <c r="C10" i="1"/>
  <c r="C4" i="1"/>
  <c r="C3" i="1"/>
  <c r="C2" i="1"/>
</calcChain>
</file>

<file path=xl/sharedStrings.xml><?xml version="1.0" encoding="utf-8"?>
<sst xmlns="http://schemas.openxmlformats.org/spreadsheetml/2006/main" count="50" uniqueCount="40">
  <si>
    <t>ip</t>
    <phoneticPr fontId="1"/>
  </si>
  <si>
    <t>192.168.0.1</t>
    <phoneticPr fontId="1"/>
  </si>
  <si>
    <t>0.0.0.255</t>
    <phoneticPr fontId="1"/>
  </si>
  <si>
    <t>255.255.255.255</t>
    <phoneticPr fontId="1"/>
  </si>
  <si>
    <t>0.0.0.0</t>
    <phoneticPr fontId="1"/>
  </si>
  <si>
    <t>0.0.128.255</t>
    <phoneticPr fontId="1"/>
  </si>
  <si>
    <t>192.168.0.1/127.255.255.255</t>
    <phoneticPr fontId="1"/>
  </si>
  <si>
    <t>127.255.255.255</t>
    <phoneticPr fontId="1"/>
  </si>
  <si>
    <t>127.255.255.255</t>
    <phoneticPr fontId="1"/>
  </si>
  <si>
    <t>192.168.100.1/0.0.0.0</t>
    <phoneticPr fontId="1"/>
  </si>
  <si>
    <t>192.168.255.1/0.0.127.255</t>
    <phoneticPr fontId="1"/>
  </si>
  <si>
    <t>192.168.128.1/0.0.127.255</t>
    <phoneticPr fontId="1"/>
  </si>
  <si>
    <t>192.168.128.1/0.0.0.3</t>
    <phoneticPr fontId="1"/>
  </si>
  <si>
    <t>192.168.128.8/0.0.0.7</t>
    <phoneticPr fontId="1"/>
  </si>
  <si>
    <t>192.168.128.7/0.0.0.7</t>
    <phoneticPr fontId="1"/>
  </si>
  <si>
    <t>wildcard mask bit</t>
    <phoneticPr fontId="1"/>
  </si>
  <si>
    <t>err-case</t>
    <phoneticPr fontId="1"/>
  </si>
  <si>
    <t>ip/wild</t>
    <phoneticPr fontId="1"/>
  </si>
  <si>
    <t>prefix-len</t>
    <phoneticPr fontId="1"/>
  </si>
  <si>
    <t>ip/prefix</t>
    <phoneticPr fontId="1"/>
  </si>
  <si>
    <t>192.168.255.1/17</t>
  </si>
  <si>
    <t>192.168.255.1/18</t>
    <phoneticPr fontId="1"/>
  </si>
  <si>
    <t>192.168.255.1/25</t>
    <phoneticPr fontId="1"/>
  </si>
  <si>
    <t>192.168.100.1/255.255.255.255</t>
    <phoneticPr fontId="1"/>
  </si>
  <si>
    <t>ip</t>
    <phoneticPr fontId="1"/>
  </si>
  <si>
    <t>ipwild</t>
    <phoneticPr fontId="1"/>
  </si>
  <si>
    <t>ipinnet</t>
    <phoneticPr fontId="1"/>
  </si>
  <si>
    <t>192.168.0.1/0.0.0.255</t>
    <phoneticPr fontId="1"/>
  </si>
  <si>
    <t>192.168.0.255</t>
    <phoneticPr fontId="1"/>
  </si>
  <si>
    <t>192.168.1.0</t>
    <phoneticPr fontId="1"/>
  </si>
  <si>
    <t>192.168.0.0</t>
    <phoneticPr fontId="1"/>
  </si>
  <si>
    <t>Ip2Int</t>
    <phoneticPr fontId="1"/>
  </si>
  <si>
    <t>wild2maskl</t>
    <phoneticPr fontId="1"/>
  </si>
  <si>
    <t>maskl2wild</t>
    <phoneticPr fontId="1"/>
  </si>
  <si>
    <t>ipwild2ipmaskl</t>
    <phoneticPr fontId="1"/>
  </si>
  <si>
    <t>ipmaskl2ipwild</t>
    <phoneticPr fontId="1"/>
  </si>
  <si>
    <t>wild2subnetmask</t>
    <phoneticPr fontId="1"/>
  </si>
  <si>
    <t>ipwild2ipmaskl</t>
    <phoneticPr fontId="1"/>
  </si>
  <si>
    <t>ipwild2nwaddress</t>
    <phoneticPr fontId="1"/>
  </si>
  <si>
    <t>ipwild2broadaddr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</si>
</sst>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176" fontId="2" fillId="0" borderId="0" xfId="0" applyNumberFormat="1" applyFont="1">
      <alignment vertical="center"/>
    </xf>
    <xf numFmtId="0" fontId="2" fillId="2" borderId="0" xfId="0" applyFont="1" applyFill="1">
      <alignment vertical="center"/>
    </xf>
    <xf numFmtId="0" fontId="2" fillId="3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E74"/>
  <sheetViews>
    <sheetView tabSelected="1" topLeftCell="A13" workbookViewId="0">
      <selection activeCell="B25" sqref="B25"/>
    </sheetView>
  </sheetViews>
  <sheetFormatPr defaultRowHeight="13.5" x14ac:dyDescent="0.15"/>
  <cols>
    <col min="1" max="1" width="3.25" style="1" customWidth="1"/>
    <col min="2" max="2" width="32.75" style="1" bestFit="1" customWidth="1"/>
    <col min="3" max="3" width="28.25" style="1" bestFit="1" customWidth="1"/>
    <col min="4" max="4" width="18.375" style="1" bestFit="1" customWidth="1"/>
    <col min="5" max="5" width="17.25" style="1" bestFit="1" customWidth="1"/>
    <col min="6" max="16384" width="9" style="1"/>
  </cols>
  <sheetData>
    <row r="1" spans="2:4" x14ac:dyDescent="0.15">
      <c r="B1" s="3" t="s">
        <v>0</v>
      </c>
      <c r="C1" s="4" t="s">
        <v>31</v>
      </c>
    </row>
    <row r="2" spans="2:4" x14ac:dyDescent="0.15">
      <c r="B2" s="1" t="s">
        <v>1</v>
      </c>
      <c r="C2" s="2">
        <f>Ip2Int(B2)</f>
        <v>3232235521</v>
      </c>
    </row>
    <row r="3" spans="2:4" x14ac:dyDescent="0.15">
      <c r="B3" s="1" t="s">
        <v>7</v>
      </c>
      <c r="C3" s="2">
        <f>Ip2Int(B3)</f>
        <v>2147483647</v>
      </c>
    </row>
    <row r="4" spans="2:4" x14ac:dyDescent="0.15">
      <c r="B4" s="1" t="s">
        <v>2</v>
      </c>
      <c r="C4" s="2">
        <f>Ip2Int(B4)</f>
        <v>255</v>
      </c>
    </row>
    <row r="6" spans="2:4" x14ac:dyDescent="0.15">
      <c r="B6" s="3" t="s">
        <v>15</v>
      </c>
      <c r="C6" s="4" t="s">
        <v>32</v>
      </c>
    </row>
    <row r="7" spans="2:4" x14ac:dyDescent="0.15">
      <c r="B7" s="1" t="s">
        <v>2</v>
      </c>
      <c r="C7" s="1">
        <f>wild2maskl(B7)</f>
        <v>24</v>
      </c>
    </row>
    <row r="8" spans="2:4" x14ac:dyDescent="0.15">
      <c r="B8" s="1" t="s">
        <v>5</v>
      </c>
      <c r="C8" s="1">
        <f>wild2maskl(B8)</f>
        <v>-1</v>
      </c>
      <c r="D8" s="1" t="s">
        <v>16</v>
      </c>
    </row>
    <row r="9" spans="2:4" x14ac:dyDescent="0.15">
      <c r="B9" s="1" t="s">
        <v>3</v>
      </c>
      <c r="C9" s="1">
        <f>wild2maskl(B9)</f>
        <v>0</v>
      </c>
    </row>
    <row r="10" spans="2:4" x14ac:dyDescent="0.15">
      <c r="B10" s="1" t="s">
        <v>4</v>
      </c>
      <c r="C10" s="1">
        <f>wild2maskl(B10)</f>
        <v>32</v>
      </c>
    </row>
    <row r="12" spans="2:4" x14ac:dyDescent="0.15">
      <c r="B12" s="3" t="s">
        <v>18</v>
      </c>
      <c r="C12" s="4" t="s">
        <v>33</v>
      </c>
    </row>
    <row r="13" spans="2:4" x14ac:dyDescent="0.15">
      <c r="B13" s="1">
        <v>32</v>
      </c>
      <c r="C13" s="1" t="str">
        <f>maskl2wild(B13)</f>
        <v>0.0.0.0</v>
      </c>
    </row>
    <row r="14" spans="2:4" x14ac:dyDescent="0.15">
      <c r="B14" s="1">
        <f>B13-1</f>
        <v>31</v>
      </c>
      <c r="C14" s="1" t="str">
        <f>maskl2wild(B14)</f>
        <v>0.0.0.1</v>
      </c>
    </row>
    <row r="15" spans="2:4" x14ac:dyDescent="0.15">
      <c r="B15" s="1">
        <f t="shared" ref="B15:B37" si="0">B14-1</f>
        <v>30</v>
      </c>
      <c r="C15" s="1" t="str">
        <f t="shared" ref="C15:C45" si="1">maskl2wild(B15)</f>
        <v>0.0.0.3</v>
      </c>
    </row>
    <row r="16" spans="2:4" x14ac:dyDescent="0.15">
      <c r="B16" s="1">
        <f t="shared" si="0"/>
        <v>29</v>
      </c>
      <c r="C16" s="1" t="str">
        <f t="shared" si="1"/>
        <v>0.0.0.7</v>
      </c>
    </row>
    <row r="17" spans="2:3" x14ac:dyDescent="0.15">
      <c r="B17" s="1">
        <f t="shared" si="0"/>
        <v>28</v>
      </c>
      <c r="C17" s="1" t="str">
        <f t="shared" si="1"/>
        <v>0.0.0.15</v>
      </c>
    </row>
    <row r="18" spans="2:3" x14ac:dyDescent="0.15">
      <c r="B18" s="1">
        <f t="shared" si="0"/>
        <v>27</v>
      </c>
      <c r="C18" s="1" t="str">
        <f t="shared" si="1"/>
        <v>0.0.0.31</v>
      </c>
    </row>
    <row r="19" spans="2:3" x14ac:dyDescent="0.15">
      <c r="B19" s="1">
        <f t="shared" si="0"/>
        <v>26</v>
      </c>
      <c r="C19" s="1" t="str">
        <f t="shared" si="1"/>
        <v>0.0.0.63</v>
      </c>
    </row>
    <row r="20" spans="2:3" x14ac:dyDescent="0.15">
      <c r="B20" s="1">
        <f t="shared" si="0"/>
        <v>25</v>
      </c>
      <c r="C20" s="1" t="str">
        <f t="shared" si="1"/>
        <v>0.0.0.127</v>
      </c>
    </row>
    <row r="21" spans="2:3" x14ac:dyDescent="0.15">
      <c r="B21" s="1">
        <f t="shared" si="0"/>
        <v>24</v>
      </c>
      <c r="C21" s="1" t="str">
        <f t="shared" si="1"/>
        <v>0.0.0.255</v>
      </c>
    </row>
    <row r="22" spans="2:3" x14ac:dyDescent="0.15">
      <c r="B22" s="1">
        <f t="shared" si="0"/>
        <v>23</v>
      </c>
      <c r="C22" s="1" t="str">
        <f t="shared" si="1"/>
        <v>0.0.1.255</v>
      </c>
    </row>
    <row r="23" spans="2:3" x14ac:dyDescent="0.15">
      <c r="B23" s="1">
        <f t="shared" si="0"/>
        <v>22</v>
      </c>
      <c r="C23" s="1" t="str">
        <f t="shared" si="1"/>
        <v>0.0.3.255</v>
      </c>
    </row>
    <row r="24" spans="2:3" x14ac:dyDescent="0.15">
      <c r="B24" s="1">
        <f t="shared" si="0"/>
        <v>21</v>
      </c>
      <c r="C24" s="1" t="str">
        <f t="shared" si="1"/>
        <v>0.0.7.255</v>
      </c>
    </row>
    <row r="25" spans="2:3" x14ac:dyDescent="0.15">
      <c r="B25" s="1">
        <f t="shared" si="0"/>
        <v>20</v>
      </c>
      <c r="C25" s="1" t="str">
        <f t="shared" si="1"/>
        <v>0.0.15.255</v>
      </c>
    </row>
    <row r="26" spans="2:3" x14ac:dyDescent="0.15">
      <c r="B26" s="1">
        <f t="shared" si="0"/>
        <v>19</v>
      </c>
      <c r="C26" s="1" t="str">
        <f t="shared" si="1"/>
        <v>0.0.31.255</v>
      </c>
    </row>
    <row r="27" spans="2:3" x14ac:dyDescent="0.15">
      <c r="B27" s="1">
        <f t="shared" si="0"/>
        <v>18</v>
      </c>
      <c r="C27" s="1" t="str">
        <f t="shared" si="1"/>
        <v>0.0.63.255</v>
      </c>
    </row>
    <row r="28" spans="2:3" x14ac:dyDescent="0.15">
      <c r="B28" s="1">
        <f t="shared" si="0"/>
        <v>17</v>
      </c>
      <c r="C28" s="1" t="str">
        <f t="shared" si="1"/>
        <v>0.0.127.255</v>
      </c>
    </row>
    <row r="29" spans="2:3" x14ac:dyDescent="0.15">
      <c r="B29" s="1">
        <f t="shared" si="0"/>
        <v>16</v>
      </c>
      <c r="C29" s="1" t="str">
        <f t="shared" si="1"/>
        <v>0.0.255.255</v>
      </c>
    </row>
    <row r="30" spans="2:3" x14ac:dyDescent="0.15">
      <c r="B30" s="1">
        <f t="shared" si="0"/>
        <v>15</v>
      </c>
      <c r="C30" s="1" t="str">
        <f t="shared" si="1"/>
        <v>0.1.255.255</v>
      </c>
    </row>
    <row r="31" spans="2:3" x14ac:dyDescent="0.15">
      <c r="B31" s="1">
        <f t="shared" si="0"/>
        <v>14</v>
      </c>
      <c r="C31" s="1" t="str">
        <f t="shared" si="1"/>
        <v>0.3.255.255</v>
      </c>
    </row>
    <row r="32" spans="2:3" x14ac:dyDescent="0.15">
      <c r="B32" s="1">
        <f t="shared" si="0"/>
        <v>13</v>
      </c>
      <c r="C32" s="1" t="str">
        <f t="shared" si="1"/>
        <v>0.7.255.255</v>
      </c>
    </row>
    <row r="33" spans="2:3" x14ac:dyDescent="0.15">
      <c r="B33" s="1">
        <f t="shared" si="0"/>
        <v>12</v>
      </c>
      <c r="C33" s="1" t="str">
        <f t="shared" si="1"/>
        <v>0.15.255.255</v>
      </c>
    </row>
    <row r="34" spans="2:3" x14ac:dyDescent="0.15">
      <c r="B34" s="1">
        <f t="shared" si="0"/>
        <v>11</v>
      </c>
      <c r="C34" s="1" t="str">
        <f t="shared" si="1"/>
        <v>0.31.255.255</v>
      </c>
    </row>
    <row r="35" spans="2:3" x14ac:dyDescent="0.15">
      <c r="B35" s="1">
        <f t="shared" si="0"/>
        <v>10</v>
      </c>
      <c r="C35" s="1" t="str">
        <f t="shared" si="1"/>
        <v>0.63.255.255</v>
      </c>
    </row>
    <row r="36" spans="2:3" x14ac:dyDescent="0.15">
      <c r="B36" s="1">
        <f t="shared" si="0"/>
        <v>9</v>
      </c>
      <c r="C36" s="1" t="str">
        <f t="shared" si="1"/>
        <v>0.127.255.255</v>
      </c>
    </row>
    <row r="37" spans="2:3" x14ac:dyDescent="0.15">
      <c r="B37" s="1">
        <f t="shared" si="0"/>
        <v>8</v>
      </c>
      <c r="C37" s="1" t="str">
        <f t="shared" si="1"/>
        <v>0.255.255.255</v>
      </c>
    </row>
    <row r="38" spans="2:3" x14ac:dyDescent="0.15">
      <c r="B38" s="1">
        <f t="shared" ref="B38:B43" si="2">B37-1</f>
        <v>7</v>
      </c>
      <c r="C38" s="1" t="str">
        <f t="shared" si="1"/>
        <v>1.255.255.255</v>
      </c>
    </row>
    <row r="39" spans="2:3" x14ac:dyDescent="0.15">
      <c r="B39" s="1">
        <f t="shared" si="2"/>
        <v>6</v>
      </c>
      <c r="C39" s="1" t="str">
        <f t="shared" si="1"/>
        <v>3.255.255.255</v>
      </c>
    </row>
    <row r="40" spans="2:3" x14ac:dyDescent="0.15">
      <c r="B40" s="1">
        <f t="shared" si="2"/>
        <v>5</v>
      </c>
      <c r="C40" s="1" t="str">
        <f t="shared" si="1"/>
        <v>7.255.255.255</v>
      </c>
    </row>
    <row r="41" spans="2:3" x14ac:dyDescent="0.15">
      <c r="B41" s="1">
        <f t="shared" si="2"/>
        <v>4</v>
      </c>
      <c r="C41" s="1" t="str">
        <f t="shared" si="1"/>
        <v>15.255.255.255</v>
      </c>
    </row>
    <row r="42" spans="2:3" x14ac:dyDescent="0.15">
      <c r="B42" s="1">
        <f t="shared" si="2"/>
        <v>3</v>
      </c>
      <c r="C42" s="1" t="str">
        <f t="shared" si="1"/>
        <v>31.255.255.255</v>
      </c>
    </row>
    <row r="43" spans="2:3" x14ac:dyDescent="0.15">
      <c r="B43" s="1">
        <f t="shared" si="2"/>
        <v>2</v>
      </c>
      <c r="C43" s="1" t="str">
        <f t="shared" si="1"/>
        <v>63.255.255.255</v>
      </c>
    </row>
    <row r="44" spans="2:3" x14ac:dyDescent="0.15">
      <c r="B44" s="1">
        <f t="shared" ref="B44:B45" si="3">B43-1</f>
        <v>1</v>
      </c>
      <c r="C44" s="1" t="str">
        <f t="shared" si="1"/>
        <v>127.255.255.255</v>
      </c>
    </row>
    <row r="45" spans="2:3" x14ac:dyDescent="0.15">
      <c r="B45" s="1">
        <f t="shared" si="3"/>
        <v>0</v>
      </c>
      <c r="C45" s="1" t="str">
        <f t="shared" si="1"/>
        <v>255.255.255.255</v>
      </c>
    </row>
    <row r="47" spans="2:3" x14ac:dyDescent="0.15">
      <c r="B47" s="3" t="s">
        <v>17</v>
      </c>
      <c r="C47" s="4" t="s">
        <v>34</v>
      </c>
    </row>
    <row r="48" spans="2:3" x14ac:dyDescent="0.15">
      <c r="B48" s="1" t="s">
        <v>6</v>
      </c>
      <c r="C48" s="1" t="str">
        <f>ipwild2ipmaskl(B48)</f>
        <v>192.168.0.1/1</v>
      </c>
    </row>
    <row r="49" spans="2:5" x14ac:dyDescent="0.15">
      <c r="B49" s="1" t="s">
        <v>23</v>
      </c>
      <c r="C49" s="1" t="str">
        <f>ipwild2ipmaskl(B49)</f>
        <v>192.168.100.1/0</v>
      </c>
    </row>
    <row r="50" spans="2:5" x14ac:dyDescent="0.15">
      <c r="B50" s="1" t="s">
        <v>9</v>
      </c>
      <c r="C50" s="1" t="str">
        <f>ipwild2ipmaskl(B50)</f>
        <v>192.168.100.1/32</v>
      </c>
    </row>
    <row r="52" spans="2:5" x14ac:dyDescent="0.15">
      <c r="B52" s="3" t="s">
        <v>19</v>
      </c>
      <c r="C52" s="4" t="s">
        <v>35</v>
      </c>
    </row>
    <row r="53" spans="2:5" x14ac:dyDescent="0.15">
      <c r="B53" s="1" t="s">
        <v>20</v>
      </c>
      <c r="C53" s="1" t="str">
        <f>ipmaskl2ipwild(B53)</f>
        <v>192.168.255.1/0.0.127.255</v>
      </c>
    </row>
    <row r="54" spans="2:5" x14ac:dyDescent="0.15">
      <c r="B54" s="1" t="s">
        <v>21</v>
      </c>
      <c r="C54" s="1" t="str">
        <f>ipmaskl2ipwild(B54)</f>
        <v>192.168.255.1/0.0.63.255</v>
      </c>
    </row>
    <row r="55" spans="2:5" x14ac:dyDescent="0.15">
      <c r="B55" s="1" t="s">
        <v>22</v>
      </c>
      <c r="C55" s="1" t="str">
        <f>ipmaskl2ipwild(B55)</f>
        <v>192.168.255.1/0.0.0.127</v>
      </c>
    </row>
    <row r="57" spans="2:5" x14ac:dyDescent="0.15">
      <c r="B57" s="3" t="s">
        <v>15</v>
      </c>
      <c r="C57" s="4" t="s">
        <v>36</v>
      </c>
    </row>
    <row r="58" spans="2:5" x14ac:dyDescent="0.15">
      <c r="B58" s="1" t="s">
        <v>2</v>
      </c>
      <c r="C58" s="1" t="str">
        <f>wild2subnetmask(B58)</f>
        <v>255.255.255.0</v>
      </c>
    </row>
    <row r="59" spans="2:5" x14ac:dyDescent="0.15">
      <c r="B59" s="1" t="s">
        <v>5</v>
      </c>
      <c r="C59" s="1" t="str">
        <f>wild2subnetmask(B59)</f>
        <v>255.255.127.0</v>
      </c>
    </row>
    <row r="60" spans="2:5" x14ac:dyDescent="0.15">
      <c r="B60" s="1" t="s">
        <v>4</v>
      </c>
      <c r="C60" s="1" t="str">
        <f>wild2subnetmask(B60)</f>
        <v>255.255.255.255</v>
      </c>
    </row>
    <row r="61" spans="2:5" x14ac:dyDescent="0.15">
      <c r="B61" s="1" t="s">
        <v>8</v>
      </c>
      <c r="C61" s="1" t="str">
        <f>wild2subnetmask(B61)</f>
        <v>128.0.0.0</v>
      </c>
    </row>
    <row r="63" spans="2:5" x14ac:dyDescent="0.15">
      <c r="B63" s="3" t="s">
        <v>17</v>
      </c>
      <c r="C63" s="4" t="s">
        <v>37</v>
      </c>
      <c r="D63" s="4" t="s">
        <v>38</v>
      </c>
      <c r="E63" s="4" t="s">
        <v>39</v>
      </c>
    </row>
    <row r="64" spans="2:5" x14ac:dyDescent="0.15">
      <c r="B64" s="1" t="s">
        <v>10</v>
      </c>
      <c r="C64" s="1" t="str">
        <f>ipwild2ipmaskl(B64)</f>
        <v>192.168.255.1/17</v>
      </c>
      <c r="D64" s="1" t="str">
        <f>ipwild2nwaddress(B64)</f>
        <v>192.168.128.0</v>
      </c>
      <c r="E64" s="1" t="str">
        <f>ipwild2broadaddr(B64)</f>
        <v>192.168.255.255</v>
      </c>
    </row>
    <row r="65" spans="2:5" x14ac:dyDescent="0.15">
      <c r="B65" s="1" t="s">
        <v>11</v>
      </c>
      <c r="C65" s="1" t="str">
        <f>ipwild2ipmaskl(B65)</f>
        <v>192.168.128.1/17</v>
      </c>
      <c r="D65" s="1" t="str">
        <f>ipwild2nwaddress(B65)</f>
        <v>192.168.128.0</v>
      </c>
      <c r="E65" s="1" t="str">
        <f>ipwild2broadaddr(B65)</f>
        <v>192.168.255.255</v>
      </c>
    </row>
    <row r="66" spans="2:5" x14ac:dyDescent="0.15">
      <c r="B66" s="1" t="s">
        <v>12</v>
      </c>
      <c r="C66" s="1" t="str">
        <f>ipwild2ipmaskl(B66)</f>
        <v>192.168.128.1/30</v>
      </c>
      <c r="D66" s="1" t="str">
        <f>ipwild2nwaddress(B66)</f>
        <v>192.168.128.0</v>
      </c>
      <c r="E66" s="1" t="str">
        <f>ipwild2broadaddr(B66)</f>
        <v>192.168.128.3</v>
      </c>
    </row>
    <row r="67" spans="2:5" x14ac:dyDescent="0.15">
      <c r="B67" s="1" t="s">
        <v>14</v>
      </c>
      <c r="C67" s="1" t="str">
        <f>ipwild2ipmaskl(B67)</f>
        <v>192.168.128.7/29</v>
      </c>
      <c r="D67" s="1" t="str">
        <f>ipwild2nwaddress(B67)</f>
        <v>192.168.128.0</v>
      </c>
      <c r="E67" s="1" t="str">
        <f>ipwild2broadaddr(B67)</f>
        <v>192.168.128.7</v>
      </c>
    </row>
    <row r="68" spans="2:5" x14ac:dyDescent="0.15">
      <c r="B68" s="1" t="s">
        <v>13</v>
      </c>
      <c r="C68" s="1" t="str">
        <f>ipwild2ipmaskl(B68)</f>
        <v>192.168.128.8/29</v>
      </c>
      <c r="D68" s="1" t="str">
        <f>ipwild2nwaddress(B68)</f>
        <v>192.168.128.8</v>
      </c>
      <c r="E68" s="1" t="str">
        <f>ipwild2broadaddr(B68)</f>
        <v>192.168.128.15</v>
      </c>
    </row>
    <row r="70" spans="2:5" x14ac:dyDescent="0.15">
      <c r="B70" s="3" t="s">
        <v>24</v>
      </c>
      <c r="C70" s="3" t="s">
        <v>25</v>
      </c>
      <c r="D70" s="4" t="s">
        <v>26</v>
      </c>
    </row>
    <row r="71" spans="2:5" x14ac:dyDescent="0.15">
      <c r="B71" s="1" t="s">
        <v>30</v>
      </c>
      <c r="C71" s="1" t="s">
        <v>27</v>
      </c>
      <c r="D71" s="1" t="b">
        <f>ipinnet(B71,C71)</f>
        <v>1</v>
      </c>
    </row>
    <row r="72" spans="2:5" x14ac:dyDescent="0.15">
      <c r="B72" s="1" t="s">
        <v>28</v>
      </c>
      <c r="C72" s="1" t="s">
        <v>27</v>
      </c>
      <c r="D72" s="1" t="b">
        <f>ipinnet(B72,C72)</f>
        <v>1</v>
      </c>
    </row>
    <row r="73" spans="2:5" x14ac:dyDescent="0.15">
      <c r="B73" s="1" t="s">
        <v>29</v>
      </c>
      <c r="C73" s="1" t="s">
        <v>27</v>
      </c>
      <c r="D73" s="1" t="b">
        <f>ipinnet(B73,C73)</f>
        <v>0</v>
      </c>
    </row>
    <row r="74" spans="2:5" x14ac:dyDescent="0.15">
      <c r="B74" s="1" t="s">
        <v>29</v>
      </c>
      <c r="C74" s="1" t="s">
        <v>27</v>
      </c>
      <c r="D74" s="1" t="b">
        <f>ipinnet(B74,C74)</f>
        <v>0</v>
      </c>
    </row>
  </sheetData>
  <phoneticPr fontId="1"/>
  <pageMargins left="0.25" right="0.25" top="0.75" bottom="0.75" header="0.3" footer="0.3"/>
  <pageSetup paperSize="9" scale="82" fitToWidth="0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2019-08-07T14:39:34Z</cp:lastPrinted>
  <dcterms:created xsi:type="dcterms:W3CDTF">2019-08-06T14:22:21Z</dcterms:created>
  <dcterms:modified xsi:type="dcterms:W3CDTF">2019-08-10T00:01:28Z</dcterms:modified>
</cp:coreProperties>
</file>